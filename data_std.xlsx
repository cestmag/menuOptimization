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学食最適化\"/>
    </mc:Choice>
  </mc:AlternateContent>
  <xr:revisionPtr revIDLastSave="0" documentId="13_ncr:1_{5440B848-3FA3-489F-90AD-0410BF1BBE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基準摂取量" sheetId="2" r:id="rId1"/>
  </sheets>
  <calcPr calcId="181029"/>
</workbook>
</file>

<file path=xl/calcChain.xml><?xml version="1.0" encoding="utf-8"?>
<calcChain xmlns="http://schemas.openxmlformats.org/spreadsheetml/2006/main">
  <c r="B13" i="2" l="1"/>
  <c r="B12" i="2"/>
  <c r="B11" i="2"/>
  <c r="B9" i="2"/>
  <c r="B8" i="2"/>
  <c r="B7" i="2"/>
</calcChain>
</file>

<file path=xl/sharedStrings.xml><?xml version="1.0" encoding="utf-8"?>
<sst xmlns="http://schemas.openxmlformats.org/spreadsheetml/2006/main" count="15" uniqueCount="15">
  <si>
    <t>エネルギー(kcal)</t>
  </si>
  <si>
    <t>タンパク質(g)</t>
  </si>
  <si>
    <t>脂質(g)</t>
  </si>
  <si>
    <t>食塩相当量(g)</t>
  </si>
  <si>
    <t>野菜量(g)</t>
  </si>
  <si>
    <t>鉄(mg)</t>
  </si>
  <si>
    <t>18~29歳</t>
  </si>
  <si>
    <t>下限</t>
  </si>
  <si>
    <t>上限</t>
  </si>
  <si>
    <t>炭水化物(g)</t>
  </si>
  <si>
    <t>カルシウム(g)</t>
  </si>
  <si>
    <t>ビタミンA(μg)</t>
  </si>
  <si>
    <t>ビタミンB1(mg)</t>
  </si>
  <si>
    <t>ビタミンB2(mg)</t>
  </si>
  <si>
    <t>ビタミンC(mg)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</si>
</sst>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6"/>
      <name val="Arial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3"/>
  <sheetViews>
    <sheetView tabSelected="1" workbookViewId="0">
      <selection activeCell="B4" sqref="B4"/>
    </sheetView>
  </sheetViews>
  <sheetFormatPr defaultColWidth="12.5703125" defaultRowHeight="15.75" customHeight="1" x14ac:dyDescent="0.2"/>
  <sheetData>
    <row r="1" spans="1:3" x14ac:dyDescent="0.2">
      <c r="A1" s="1" t="s">
        <v>6</v>
      </c>
      <c r="B1" s="1" t="s">
        <v>7</v>
      </c>
      <c r="C1" s="1" t="s">
        <v>8</v>
      </c>
    </row>
    <row r="2" spans="1:3" x14ac:dyDescent="0.2">
      <c r="A2" s="1" t="s">
        <v>0</v>
      </c>
      <c r="B2" s="1">
        <v>750</v>
      </c>
      <c r="C2" s="1">
        <v>1000</v>
      </c>
    </row>
    <row r="3" spans="1:3" x14ac:dyDescent="0.2">
      <c r="A3" s="1" t="s">
        <v>1</v>
      </c>
      <c r="B3" s="1">
        <v>20</v>
      </c>
      <c r="C3" s="1">
        <v>30</v>
      </c>
    </row>
    <row r="4" spans="1:3" x14ac:dyDescent="0.2">
      <c r="A4" s="1" t="s">
        <v>2</v>
      </c>
      <c r="B4" s="1">
        <v>20</v>
      </c>
      <c r="C4" s="1">
        <v>30</v>
      </c>
    </row>
    <row r="5" spans="1:3" x14ac:dyDescent="0.2">
      <c r="A5" s="1" t="s">
        <v>9</v>
      </c>
      <c r="B5" s="1">
        <v>80</v>
      </c>
      <c r="C5" s="1">
        <v>120</v>
      </c>
    </row>
    <row r="6" spans="1:3" x14ac:dyDescent="0.2">
      <c r="A6" s="1" t="s">
        <v>3</v>
      </c>
      <c r="B6" s="1">
        <v>0.5</v>
      </c>
      <c r="C6" s="1">
        <v>5</v>
      </c>
    </row>
    <row r="7" spans="1:3" x14ac:dyDescent="0.2">
      <c r="A7" s="1" t="s">
        <v>10</v>
      </c>
      <c r="B7" s="1">
        <f>0.65/3</f>
        <v>0.21666666666666667</v>
      </c>
      <c r="C7" s="1">
        <v>2.5</v>
      </c>
    </row>
    <row r="8" spans="1:3" x14ac:dyDescent="0.2">
      <c r="A8" s="1" t="s">
        <v>4</v>
      </c>
      <c r="B8" s="1">
        <f>350/3</f>
        <v>116.66666666666667</v>
      </c>
      <c r="C8" s="1">
        <v>1000</v>
      </c>
    </row>
    <row r="9" spans="1:3" x14ac:dyDescent="0.2">
      <c r="A9" s="1" t="s">
        <v>5</v>
      </c>
      <c r="B9" s="1">
        <f>5.5/3</f>
        <v>1.8333333333333333</v>
      </c>
      <c r="C9" s="1">
        <v>10</v>
      </c>
    </row>
    <row r="10" spans="1:3" x14ac:dyDescent="0.2">
      <c r="A10" s="1" t="s">
        <v>11</v>
      </c>
      <c r="B10" s="1">
        <v>200</v>
      </c>
      <c r="C10" s="1">
        <v>1000</v>
      </c>
    </row>
    <row r="11" spans="1:3" x14ac:dyDescent="0.2">
      <c r="A11" s="1" t="s">
        <v>12</v>
      </c>
      <c r="B11" s="1">
        <f>0.8/3</f>
        <v>0.26666666666666666</v>
      </c>
      <c r="C11" s="1">
        <v>100</v>
      </c>
    </row>
    <row r="12" spans="1:3" x14ac:dyDescent="0.2">
      <c r="A12" s="1" t="s">
        <v>13</v>
      </c>
      <c r="B12" s="1">
        <f>1.3/3</f>
        <v>0.43333333333333335</v>
      </c>
      <c r="C12" s="1">
        <v>100</v>
      </c>
    </row>
    <row r="13" spans="1:3" x14ac:dyDescent="0.2">
      <c r="A13" s="1" t="s">
        <v>14</v>
      </c>
      <c r="B13" s="1">
        <f>80/3</f>
        <v>26.666666666666668</v>
      </c>
      <c r="C13" s="1">
        <v>500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基準摂取量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KUROKI Haru</cp:lastModifiedBy>
  <dcterms:modified xsi:type="dcterms:W3CDTF">2025-03-17T05:25:31Z</dcterms:modified>
</cp:coreProperties>
</file>